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金方案计算器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595959"/>
      <sz val="9"/>
    </font>
    <font>
      <name val="微软雅黑"/>
      <sz val="10"/>
    </font>
    <font>
      <name val="微软雅黑"/>
      <b val="1"/>
      <color rgb="007F6000"/>
      <sz val="10"/>
    </font>
    <font>
      <name val="微软雅黑"/>
      <color rgb="00BF8F00"/>
      <sz val="9"/>
    </font>
    <font>
      <name val="微软雅黑"/>
      <color rgb="00548235"/>
      <sz val="9"/>
    </font>
    <font>
      <name val="微软雅黑"/>
      <b val="1"/>
      <color rgb="00FFFFFF"/>
      <sz val="11"/>
    </font>
    <font>
      <name val="微软雅黑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164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0" fontId="1" fillId="2" borderId="0" pivotButton="0" quotePrefix="0" xfId="0"/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8" customWidth="1" min="3" max="3"/>
  </cols>
  <sheetData>
    <row r="1" ht="24" customHeight="1">
      <c r="A1" s="1" t="inlineStr">
        <is>
          <t>哨响AI · 资金方案计算器（填黄色格，结果自动算）</t>
        </is>
      </c>
    </row>
    <row r="2" ht="28" customHeight="1">
      <c r="A2" s="2" t="inlineStr">
        <is>
          <t>原则：作战资金=总盘×比例；每注=作战×f 再封顶；回撤/日亏/周亏触发止损；季度再平衡拉回比例。</t>
        </is>
      </c>
    </row>
    <row r="4">
      <c r="A4" s="3" t="inlineStr">
        <is>
          <t>总盘（元）</t>
        </is>
      </c>
      <c r="B4" s="4" t="n">
        <v>1000000</v>
      </c>
      <c r="C4" s="5" t="inlineStr">
        <is>
          <t>输入</t>
        </is>
      </c>
    </row>
    <row r="5">
      <c r="A5" s="3" t="inlineStr">
        <is>
          <t>作战资金比例</t>
        </is>
      </c>
      <c r="B5" s="6" t="n">
        <v>0.4</v>
      </c>
      <c r="C5" s="5" t="inlineStr">
        <is>
          <t>输入</t>
        </is>
      </c>
    </row>
    <row r="6">
      <c r="A6" s="3" t="inlineStr">
        <is>
          <t>注码比例 f（每注占比）</t>
        </is>
      </c>
      <c r="B6" s="6" t="n">
        <v>0.015</v>
      </c>
      <c r="C6" s="5" t="inlineStr">
        <is>
          <t>输入</t>
        </is>
      </c>
    </row>
    <row r="7">
      <c r="A7" s="3" t="inlineStr">
        <is>
          <t>单注绝对上限（元）</t>
        </is>
      </c>
      <c r="B7" s="4" t="n">
        <v>10000</v>
      </c>
      <c r="C7" s="5" t="inlineStr">
        <is>
          <t>输入</t>
        </is>
      </c>
    </row>
    <row r="8">
      <c r="A8" s="3" t="inlineStr">
        <is>
          <t>最大回撤止损（%）</t>
        </is>
      </c>
      <c r="B8" s="6" t="n">
        <v>0.25</v>
      </c>
      <c r="C8" s="5" t="inlineStr">
        <is>
          <t>输入</t>
        </is>
      </c>
    </row>
    <row r="9">
      <c r="A9" s="3" t="inlineStr">
        <is>
          <t>单日亏损上限（%）</t>
        </is>
      </c>
      <c r="B9" s="6" t="n">
        <v>0.05</v>
      </c>
      <c r="C9" s="5" t="inlineStr">
        <is>
          <t>输入</t>
        </is>
      </c>
    </row>
    <row r="10">
      <c r="A10" s="3" t="inlineStr">
        <is>
          <t>单周亏损上限（%）</t>
        </is>
      </c>
      <c r="B10" s="6" t="n">
        <v>0.1</v>
      </c>
      <c r="C10" s="5" t="inlineStr">
        <is>
          <t>输入</t>
        </is>
      </c>
    </row>
    <row r="11">
      <c r="A11" s="3" t="inlineStr">
        <is>
          <t>并发注数上限（笔）</t>
        </is>
      </c>
      <c r="B11" s="7" t="n">
        <v>5</v>
      </c>
      <c r="C11" s="5" t="inlineStr">
        <is>
          <t>输入</t>
        </is>
      </c>
    </row>
    <row r="12">
      <c r="A12" s="3" t="inlineStr">
        <is>
          <t>储备比例（=1-作战）</t>
        </is>
      </c>
      <c r="B12" s="6">
        <f>1-B5</f>
        <v/>
      </c>
      <c r="C12" s="8" t="inlineStr">
        <is>
          <t>自动</t>
        </is>
      </c>
    </row>
    <row r="14">
      <c r="A14" s="9" t="inlineStr">
        <is>
          <t>计算结果（自动）</t>
        </is>
      </c>
    </row>
    <row r="15">
      <c r="A15" s="3" t="inlineStr">
        <is>
          <t>作战资金（元）</t>
        </is>
      </c>
      <c r="B15" s="10">
        <f>B4*B5</f>
        <v/>
      </c>
      <c r="C15" s="8" t="inlineStr">
        <is>
          <t>结果</t>
        </is>
      </c>
    </row>
    <row r="16">
      <c r="A16" s="3" t="inlineStr">
        <is>
          <t>储备资金（元）</t>
        </is>
      </c>
      <c r="B16" s="10">
        <f>B4*B12</f>
        <v/>
      </c>
      <c r="C16" s="8" t="inlineStr">
        <is>
          <t>结果</t>
        </is>
      </c>
    </row>
    <row r="17">
      <c r="A17" s="3" t="inlineStr">
        <is>
          <t>基础单位（元）</t>
        </is>
      </c>
      <c r="B17" s="10">
        <f>B15*B6</f>
        <v/>
      </c>
      <c r="C17" s="8" t="inlineStr">
        <is>
          <t>结果</t>
        </is>
      </c>
    </row>
    <row r="18">
      <c r="A18" s="3" t="inlineStr">
        <is>
          <t>实际单注（封顶后，元）</t>
        </is>
      </c>
      <c r="B18" s="10">
        <f>MIN(B17,B7)</f>
        <v/>
      </c>
      <c r="C18" s="8" t="inlineStr">
        <is>
          <t>结果</t>
        </is>
      </c>
    </row>
    <row r="19">
      <c r="A19" s="3" t="inlineStr">
        <is>
          <t>回撤止损线（作战，元）</t>
        </is>
      </c>
      <c r="B19" s="10">
        <f>B15*(1-B8)</f>
        <v/>
      </c>
      <c r="C19" s="8" t="inlineStr">
        <is>
          <t>结果</t>
        </is>
      </c>
    </row>
    <row r="20">
      <c r="A20" s="3" t="inlineStr">
        <is>
          <t>单日亏损上限（元）</t>
        </is>
      </c>
      <c r="B20" s="10">
        <f>B15*B9</f>
        <v/>
      </c>
      <c r="C20" s="8" t="inlineStr">
        <is>
          <t>结果</t>
        </is>
      </c>
    </row>
    <row r="21">
      <c r="A21" s="3" t="inlineStr">
        <is>
          <t>单周亏损上限（元）</t>
        </is>
      </c>
      <c r="B21" s="10">
        <f>B15*B10</f>
        <v/>
      </c>
      <c r="C21" s="8" t="inlineStr">
        <is>
          <t>结果</t>
        </is>
      </c>
    </row>
    <row r="22">
      <c r="A22" s="3" t="inlineStr">
        <is>
          <t>满仓并发最大敞口（元）</t>
        </is>
      </c>
      <c r="B22" s="10">
        <f>B18*B11</f>
        <v/>
      </c>
      <c r="C22" s="8" t="inlineStr">
        <is>
          <t>结果</t>
        </is>
      </c>
    </row>
    <row r="24">
      <c r="A24" s="9" t="inlineStr">
        <is>
          <t>分阶段放量单位（作战资金 × 阶段 f）</t>
        </is>
      </c>
    </row>
    <row r="25">
      <c r="A25" s="3" t="inlineStr">
        <is>
          <t>阶段0 纸面/微注 (f=0.5%)</t>
        </is>
      </c>
      <c r="B25" s="10">
        <f>B15*0.005</f>
        <v/>
      </c>
      <c r="C25" s="8" t="inlineStr">
        <is>
          <t>结果</t>
        </is>
      </c>
    </row>
    <row r="26">
      <c r="A26" s="3" t="inlineStr">
        <is>
          <t>阶段1 放量     (f=1.5%)</t>
        </is>
      </c>
      <c r="B26" s="10">
        <f>B15*0.015</f>
        <v/>
      </c>
      <c r="C26" s="8" t="inlineStr">
        <is>
          <t>结果</t>
        </is>
      </c>
    </row>
    <row r="27">
      <c r="A27" s="3" t="inlineStr">
        <is>
          <t>阶段2 满仓     (f=2.0%)</t>
        </is>
      </c>
      <c r="B27" s="10">
        <f>B15*0.020</f>
        <v/>
      </c>
      <c r="C27" s="8" t="inlineStr">
        <is>
          <t>结果</t>
        </is>
      </c>
    </row>
    <row r="29">
      <c r="A29" s="9" t="inlineStr">
        <is>
          <t>再平衡模拟（连赢后把超额扫回储备）</t>
        </is>
      </c>
    </row>
    <row r="30">
      <c r="A30" s="3" t="inlineStr">
        <is>
          <t>再平衡时总盘（元）</t>
        </is>
      </c>
      <c r="B30" s="4" t="n">
        <v>1120000</v>
      </c>
      <c r="C30" s="5" t="inlineStr">
        <is>
          <t>输入</t>
        </is>
      </c>
    </row>
    <row r="31">
      <c r="A31" s="3" t="inlineStr">
        <is>
          <t>目标作战资金（元）</t>
        </is>
      </c>
      <c r="B31" s="10">
        <f>B30*B5</f>
        <v/>
      </c>
      <c r="C31" s="8" t="inlineStr">
        <is>
          <t>结果</t>
        </is>
      </c>
    </row>
    <row r="32">
      <c r="A32" s="3" t="inlineStr">
        <is>
          <t>当前作战资金（元）</t>
        </is>
      </c>
      <c r="B32" s="4" t="n">
        <v>520000</v>
      </c>
      <c r="C32" s="5" t="inlineStr">
        <is>
          <t>输入</t>
        </is>
      </c>
    </row>
    <row r="33">
      <c r="A33" s="3" t="inlineStr">
        <is>
          <t>超额/缺口（正=扫储备，负=补作战，元）</t>
        </is>
      </c>
      <c r="B33" s="10">
        <f>B31-B32</f>
        <v/>
      </c>
      <c r="C33" s="8" t="inlineStr">
        <is>
          <t>结果</t>
        </is>
      </c>
    </row>
  </sheetData>
  <mergeCells count="5">
    <mergeCell ref="A1:C1"/>
    <mergeCell ref="A14:C14"/>
    <mergeCell ref="A29:C29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 ht="24" customHeight="1">
      <c r="A1" s="11" t="inlineStr">
        <is>
          <t>资金方案方法说明</t>
        </is>
      </c>
    </row>
    <row r="3" ht="42" customHeight="1">
      <c r="A3" s="12" t="inlineStr">
        <is>
          <t>1. 资金分层</t>
        </is>
      </c>
      <c r="B3" s="13" t="inlineStr">
        <is>
          <t>总盘=可承受归零的钱；作战资金=唯一下注来源（建议40%）；储备=回撤补给/利润再投（建议60%）。</t>
        </is>
      </c>
    </row>
    <row r="4" ht="42" customHeight="1">
      <c r="A4" s="12" t="inlineStr">
        <is>
          <t>2. 注码方案</t>
        </is>
      </c>
      <c r="B4" s="13" t="inlineStr">
        <is>
          <t>每注=作战×f（推荐1%-2%），等权 flat，禁 Kelly 变量注码；单注硬封顶=min(单位,绝对上限)。</t>
        </is>
      </c>
    </row>
    <row r="5" ht="42" customHeight="1">
      <c r="A5" s="12" t="inlineStr">
        <is>
          <t>3. 复利机制</t>
        </is>
      </c>
      <c r="B5" s="13" t="inlineStr">
        <is>
          <t>作战资金内部随盈利自动变大→下注单位自动变大（复利引擎）；季度再平衡拉回40/60比例，防过度杠杆。</t>
        </is>
      </c>
    </row>
    <row r="6" ht="42" customHeight="1">
      <c r="A6" s="12" t="inlineStr">
        <is>
          <t>4. 风险闸门</t>
        </is>
      </c>
      <c r="B6" s="13" t="inlineStr">
        <is>
          <t>作战回撤≥25% / 单日亏≥5% / 单周亏≥10% → 强制停手复盘，不摊平。</t>
        </is>
      </c>
    </row>
    <row r="7" ht="42" customHeight="1">
      <c r="A7" s="12" t="inlineStr">
        <is>
          <t>5. 并发敞口</t>
        </is>
      </c>
      <c r="B7" s="13" t="inlineStr">
        <is>
          <t>满仓并发最大敞口=实际单注×并发注数上限，避免同联赛 correlated 连环黑。</t>
        </is>
      </c>
    </row>
    <row r="8" ht="42" customHeight="1">
      <c r="A8" s="12" t="inlineStr">
        <is>
          <t>6. 分阶段放量</t>
        </is>
      </c>
      <c r="B8" s="13" t="inlineStr">
        <is>
          <t>阶段0微注验证live ROI→阶段1放量→阶段2满仓（≥200-500注确认edge稳定）。</t>
        </is>
      </c>
    </row>
    <row r="9" ht="42" customHeight="1">
      <c r="A9" s="12" t="inlineStr">
        <is>
          <t>7. 铁律</t>
        </is>
      </c>
      <c r="B9" s="13" t="inlineStr">
        <is>
          <t>绝不在单注/单日维度因连赢加注、因连黑减注（追逐方差）；只在预定再平衡点调整。</t>
        </is>
      </c>
    </row>
    <row r="10" ht="42" customHeight="1">
      <c r="A10" s="12" t="inlineStr">
        <is>
          <t>颜色约定</t>
        </is>
      </c>
      <c r="B10" s="13" t="inlineStr">
        <is>
          <t>黄色=输入格（你填）；绿色=结果格（公式自动算）；储备比例与再平衡目标为自动公式。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2026-08-19T02:17:24Z</dcterms:created>
  <dcterms:modified xsi:type="dcterms:W3CDTF">2026-08-19T02:17:24Z</dcterms:modified>
</cp:coreProperties>
</file>